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Summary" sheetId="2" state="visible" r:id="rId4"/>
    <sheet name="Pivot Analysis" sheetId="3" state="visible" r:id="rId5"/>
    <sheet name="Cleaned Data" sheetId="4" state="visible" r:id="rId6"/>
    <sheet name="Cleaning Log" sheetId="5" state="visible" r:id="rId7"/>
    <sheet name="Callable Lis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<sst xmlns="http://schemas.openxmlformats.org/spreadsheetml/2006/main" count="234" uniqueCount="120">
  <si>
    <t xml:space="preserve">Customer Call List Dashboard</t>
  </si>
  <si>
    <t xml:space="preserve">Total Customers</t>
  </si>
  <si>
    <t xml:space="preserve">Paying Customers</t>
  </si>
  <si>
    <t xml:space="preserve">Do Not Contact</t>
  </si>
  <si>
    <t xml:space="preserve">Callable Customers</t>
  </si>
  <si>
    <t xml:space="preserve">Missing Phone</t>
  </si>
  <si>
    <t xml:space="preserve">Paying Status</t>
  </si>
  <si>
    <t xml:space="preserve">Customers</t>
  </si>
  <si>
    <t xml:space="preserve">Missing Data</t>
  </si>
  <si>
    <t xml:space="preserve">Records</t>
  </si>
  <si>
    <t xml:space="preserve">Yes</t>
  </si>
  <si>
    <t xml:space="preserve">Phone</t>
  </si>
  <si>
    <t xml:space="preserve">No</t>
  </si>
  <si>
    <t xml:space="preserve">Last Name</t>
  </si>
  <si>
    <t xml:space="preserve">Unknown</t>
  </si>
  <si>
    <t xml:space="preserve">Address</t>
  </si>
  <si>
    <t xml:space="preserve">Source: Cleaned Data sheet. Callable = paying, Do Not Contact = No, phone present.</t>
  </si>
  <si>
    <t xml:space="preserve">Metric</t>
  </si>
  <si>
    <t xml:space="preserve">Count</t>
  </si>
  <si>
    <t xml:space="preserve">Total customers</t>
  </si>
  <si>
    <t xml:space="preserve">Paying customers</t>
  </si>
  <si>
    <t xml:space="preserve">Non-paying customers</t>
  </si>
  <si>
    <t xml:space="preserve">Paying status unknown</t>
  </si>
  <si>
    <t xml:space="preserve">Do Not Contact = Yes</t>
  </si>
  <si>
    <t xml:space="preserve">Do Not Contact = Unknown</t>
  </si>
  <si>
    <t xml:space="preserve">Missing phone number</t>
  </si>
  <si>
    <t xml:space="preserve">Callable (paying, not DNC, has phone)</t>
  </si>
  <si>
    <t xml:space="preserve">Callable = Paying Customer Yes, Do_Not_Contact No, phone present. Unknown DNC excluded until verified.</t>
  </si>
  <si>
    <t xml:space="preserve">Paying Customer \ Do Not Contact</t>
  </si>
  <si>
    <t xml:space="preserve">Total</t>
  </si>
  <si>
    <t xml:space="preserve">CustomerID</t>
  </si>
  <si>
    <t xml:space="preserve">First_Name</t>
  </si>
  <si>
    <t xml:space="preserve">Last_Name</t>
  </si>
  <si>
    <t xml:space="preserve">Phone_Number</t>
  </si>
  <si>
    <t xml:space="preserve">Paying Customer</t>
  </si>
  <si>
    <t xml:space="preserve">Do_Not_Contact</t>
  </si>
  <si>
    <t xml:space="preserve">Frodo</t>
  </si>
  <si>
    <t xml:space="preserve">Baggins</t>
  </si>
  <si>
    <t xml:space="preserve">123-545-5421</t>
  </si>
  <si>
    <t xml:space="preserve">123 Shire Lane, Shire</t>
  </si>
  <si>
    <t xml:space="preserve">Abed</t>
  </si>
  <si>
    <t xml:space="preserve">Nadir</t>
  </si>
  <si>
    <t xml:space="preserve">123-643-9775</t>
  </si>
  <si>
    <t xml:space="preserve">93 West Main Street</t>
  </si>
  <si>
    <t xml:space="preserve">Walter</t>
  </si>
  <si>
    <t xml:space="preserve">White</t>
  </si>
  <si>
    <t xml:space="preserve">706-695-0392</t>
  </si>
  <si>
    <t xml:space="preserve">298 Drugs Driveway</t>
  </si>
  <si>
    <t xml:space="preserve">Dwight</t>
  </si>
  <si>
    <t xml:space="preserve">Schrute</t>
  </si>
  <si>
    <t xml:space="preserve">123-543-2345</t>
  </si>
  <si>
    <t xml:space="preserve">980 Paper Avenue, Pennsylvania, 18503</t>
  </si>
  <si>
    <t xml:space="preserve">Jon</t>
  </si>
  <si>
    <t xml:space="preserve">Snow</t>
  </si>
  <si>
    <t xml:space="preserve">876-678-3469</t>
  </si>
  <si>
    <t xml:space="preserve">123 Dragons Road</t>
  </si>
  <si>
    <t xml:space="preserve">Ron</t>
  </si>
  <si>
    <t xml:space="preserve">Swanson</t>
  </si>
  <si>
    <t xml:space="preserve">304-762-2467</t>
  </si>
  <si>
    <t xml:space="preserve">768 City Parkway</t>
  </si>
  <si>
    <t xml:space="preserve">Jeff</t>
  </si>
  <si>
    <t xml:space="preserve">Winger</t>
  </si>
  <si>
    <t xml:space="preserve">1209 South Street</t>
  </si>
  <si>
    <t xml:space="preserve">Sherlock</t>
  </si>
  <si>
    <t xml:space="preserve">Holmes</t>
  </si>
  <si>
    <t xml:space="preserve">98 Clue Drive</t>
  </si>
  <si>
    <t xml:space="preserve">Gandalf</t>
  </si>
  <si>
    <t xml:space="preserve">123 Middle Earth</t>
  </si>
  <si>
    <t xml:space="preserve">Peter</t>
  </si>
  <si>
    <t xml:space="preserve">Parker</t>
  </si>
  <si>
    <t xml:space="preserve">25th Main Street, New York</t>
  </si>
  <si>
    <t xml:space="preserve">Samwise</t>
  </si>
  <si>
    <t xml:space="preserve">Gamgee</t>
  </si>
  <si>
    <t xml:space="preserve">612 Shire Lane, Shire</t>
  </si>
  <si>
    <t xml:space="preserve">Harry</t>
  </si>
  <si>
    <t xml:space="preserve">Potter</t>
  </si>
  <si>
    <t xml:space="preserve">2394 Hogwarts Avenue</t>
  </si>
  <si>
    <t xml:space="preserve">Don</t>
  </si>
  <si>
    <t xml:space="preserve">Draper</t>
  </si>
  <si>
    <t xml:space="preserve">2039 Main Street</t>
  </si>
  <si>
    <t xml:space="preserve">Leslie</t>
  </si>
  <si>
    <t xml:space="preserve">Knope</t>
  </si>
  <si>
    <t xml:space="preserve">343 City Parkway</t>
  </si>
  <si>
    <t xml:space="preserve">Toby</t>
  </si>
  <si>
    <t xml:space="preserve">Flenderson</t>
  </si>
  <si>
    <t xml:space="preserve">214 HR Avenue</t>
  </si>
  <si>
    <t xml:space="preserve">Weasley</t>
  </si>
  <si>
    <t xml:space="preserve">2395 Hogwarts Avenue</t>
  </si>
  <si>
    <t xml:space="preserve">Michael</t>
  </si>
  <si>
    <t xml:space="preserve">Scott</t>
  </si>
  <si>
    <t xml:space="preserve">121 Paper Avenue, Pennsylvania</t>
  </si>
  <si>
    <t xml:space="preserve">Clark</t>
  </si>
  <si>
    <t xml:space="preserve">Kent</t>
  </si>
  <si>
    <t xml:space="preserve">3498 Super Lane</t>
  </si>
  <si>
    <t xml:space="preserve">Creed</t>
  </si>
  <si>
    <t xml:space="preserve">Braton</t>
  </si>
  <si>
    <t xml:space="preserve">Anakin</t>
  </si>
  <si>
    <t xml:space="preserve">Skywalker</t>
  </si>
  <si>
    <t xml:space="preserve">910 Tatooine Road, Tatooine</t>
  </si>
  <si>
    <t xml:space="preserve">Issue</t>
  </si>
  <si>
    <t xml:space="preserve">Fix</t>
  </si>
  <si>
    <t xml:space="preserve">Duplicate rows removed</t>
  </si>
  <si>
    <t xml:space="preserve">Removed exact duplicate (CustomerID 1020)</t>
  </si>
  <si>
    <t xml:space="preserve">Column removed</t>
  </si>
  <si>
    <t xml:space="preserve">Dropped Not_Useful_Column</t>
  </si>
  <si>
    <t xml:space="preserve">Names fixed (extra spaces, stray / . _ characters)</t>
  </si>
  <si>
    <t xml:space="preserve">Trimmed and removed junk characters</t>
  </si>
  <si>
    <t xml:space="preserve">Phone numbers standardized</t>
  </si>
  <si>
    <t xml:space="preserve">Format XXX-XXX-XXXX; missing/N/a left blank</t>
  </si>
  <si>
    <t xml:space="preserve">Missing addresses blanked</t>
  </si>
  <si>
    <t xml:space="preserve">N/a replaced with blank</t>
  </si>
  <si>
    <t xml:space="preserve">Yes/No columns standardized</t>
  </si>
  <si>
    <t xml:space="preserve">Y/N/Yes/No -&gt; Yes/No; blank or N/a -&gt; Unknown</t>
  </si>
  <si>
    <t xml:space="preserve">1001</t>
  </si>
  <si>
    <t xml:space="preserve">1005</t>
  </si>
  <si>
    <t xml:space="preserve">1010</t>
  </si>
  <si>
    <t xml:space="preserve">1013</t>
  </si>
  <si>
    <t xml:space="preserve">1014</t>
  </si>
  <si>
    <t xml:space="preserve">1017</t>
  </si>
  <si>
    <t xml:space="preserve">1020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</si>
</sst>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2F559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22"/>
      <color rgb="FF2F5597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9"/>
      <color rgb="FF6B6B66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F5597"/>
        <bgColor rgb="FF0066CC"/>
      </patternFill>
    </fill>
    <fill>
      <patternFill patternType="solid">
        <fgColor rgb="FFEAF0FB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4F81BD"/>
      <rgbColor rgb="FF9999FF"/>
      <rgbColor rgb="FFC0504D"/>
      <rgbColor rgb="FFFFFFCC"/>
      <rgbColor rgb="FFEAF0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BBB59"/>
      <rgbColor rgb="FFFFCC00"/>
      <rgbColor rgb="FFFF9900"/>
      <rgbColor rgb="FFFF6600"/>
      <rgbColor rgb="FF6B6B66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Paying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Dashboard!B7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Dashboard!$A$8:$A$10</c:f>
              <c:strCache>
                <c:ptCount val="3"/>
                <c:pt idx="0">
                  <c:v>Yes</c:v>
                </c:pt>
                <c:pt idx="1">
                  <c:v>No</c:v>
                </c:pt>
                <c:pt idx="2">
                  <c:v>Unknown</c:v>
                </c:pt>
              </c:strCache>
            </c:strRef>
          </c:cat>
          <c:val>
            <c:numRef>
              <c:f>Dashboard!$B$8:$B$10</c:f>
              <c:numCache>
                <c:formatCode>General</c:formatCode>
                <c:ptCount val="3"/>
                <c:pt idx="0">
                  <c:v>13</c:v>
                </c:pt>
                <c:pt idx="1">
                  <c:v>6</c:v>
                </c:pt>
                <c:pt idx="2">
                  <c:v>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Do Not Contact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Dashboard!F7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Dashboard!$E$8:$E$10</c:f>
              <c:strCache>
                <c:ptCount val="3"/>
                <c:pt idx="0">
                  <c:v>Yes</c:v>
                </c:pt>
                <c:pt idx="1">
                  <c:v>No</c:v>
                </c:pt>
                <c:pt idx="2">
                  <c:v>Unknown</c:v>
                </c:pt>
              </c:strCache>
            </c:strRef>
          </c:cat>
          <c:val>
            <c:numRef>
              <c:f>Dashboard!$F$8:$F$10</c:f>
              <c:numCache>
                <c:formatCode>General</c:formatCode>
                <c:ptCount val="3"/>
                <c:pt idx="0">
                  <c:v>4</c:v>
                </c:pt>
                <c:pt idx="1">
                  <c:v>12</c:v>
                </c:pt>
                <c:pt idx="2">
                  <c:v>4</c:v>
                </c:pt>
              </c:numCache>
            </c:numRef>
          </c:val>
        </c:ser>
        <c:gapWidth val="150"/>
        <c:overlap val="0"/>
        <c:axId val="83483554"/>
        <c:axId val="16959515"/>
      </c:barChart>
      <c:catAx>
        <c:axId val="8348355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959515"/>
        <c:crosses val="autoZero"/>
        <c:auto val="1"/>
        <c:lblAlgn val="ctr"/>
        <c:lblOffset val="100"/>
        <c:noMultiLvlLbl val="0"/>
      </c:catAx>
      <c:valAx>
        <c:axId val="1695951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48355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Missing Data by Field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Dashboard!J7</c:f>
              <c:strCache>
                <c:ptCount val="1"/>
                <c:pt idx="0">
                  <c:v>Records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Dashboard!$I$8:$I$10</c:f>
              <c:strCache>
                <c:ptCount val="3"/>
                <c:pt idx="0">
                  <c:v>Phone</c:v>
                </c:pt>
                <c:pt idx="1">
                  <c:v>Last Name</c:v>
                </c:pt>
                <c:pt idx="2">
                  <c:v>Address</c:v>
                </c:pt>
              </c:strCache>
            </c:strRef>
          </c:cat>
          <c:val>
            <c:numRef>
              <c:f>Dashboard!$J$8:$J$10</c:f>
              <c:numCache>
                <c:formatCode>General</c:formatCode>
                <c:ptCount val="3"/>
                <c:pt idx="0">
                  <c:v>4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</c:ser>
        <c:gapWidth val="150"/>
        <c:overlap val="0"/>
        <c:axId val="68043951"/>
        <c:axId val="11059242"/>
      </c:barChart>
      <c:catAx>
        <c:axId val="68043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059242"/>
        <c:crosses val="autoZero"/>
        <c:auto val="1"/>
        <c:lblAlgn val="ctr"/>
        <c:lblOffset val="100"/>
        <c:noMultiLvlLbl val="0"/>
      </c:catAx>
      <c:valAx>
        <c:axId val="1105924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04395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Paying vs Non-paying vs Unknown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Summary!$A$3:$A$5</c:f>
              <c:strCache>
                <c:ptCount val="3"/>
                <c:pt idx="0">
                  <c:v>Paying customers</c:v>
                </c:pt>
                <c:pt idx="1">
                  <c:v>Non-paying customers</c:v>
                </c:pt>
                <c:pt idx="2">
                  <c:v>Paying status unknown</c:v>
                </c:pt>
              </c:strCache>
            </c:strRef>
          </c:cat>
          <c:val>
            <c:numRef>
              <c:f>Summary!$B$3:$B$5</c:f>
              <c:numCache>
                <c:formatCode>General</c:formatCode>
                <c:ptCount val="3"/>
                <c:pt idx="0">
                  <c:v>13</c:v>
                </c:pt>
                <c:pt idx="1">
                  <c:v>6</c:v>
                </c:pt>
                <c:pt idx="2">
                  <c:v>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Customers by Paying Status and Do Not Contact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'Pivot Analysis'!B1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Analysis'!$A$2:$A$4</c:f>
              <c:strCache>
                <c:ptCount val="3"/>
                <c:pt idx="0">
                  <c:v>Yes</c:v>
                </c:pt>
                <c:pt idx="1">
                  <c:v>No</c:v>
                </c:pt>
                <c:pt idx="2">
                  <c:v>Unknown</c:v>
                </c:pt>
              </c:strCache>
            </c:strRef>
          </c:cat>
          <c:val>
            <c:numRef>
              <c:f>'Pivot Analysis'!$B$2:$B$4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</c:ser>
        <c:ser>
          <c:idx val="1"/>
          <c:order val="1"/>
          <c:tx>
            <c:strRef>
              <c:f>'Pivot Analysis'!C1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Analysis'!$A$2:$A$4</c:f>
              <c:strCache>
                <c:ptCount val="3"/>
                <c:pt idx="0">
                  <c:v>Yes</c:v>
                </c:pt>
                <c:pt idx="1">
                  <c:v>No</c:v>
                </c:pt>
                <c:pt idx="2">
                  <c:v>Unknown</c:v>
                </c:pt>
              </c:strCache>
            </c:strRef>
          </c:cat>
          <c:val>
            <c:numRef>
              <c:f>'Pivot Analysis'!$C$2:$C$4</c:f>
              <c:numCache>
                <c:formatCode>General</c:formatCode>
                <c:ptCount val="3"/>
                <c:pt idx="0">
                  <c:v>8</c:v>
                </c:pt>
                <c:pt idx="1">
                  <c:v>4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'Pivot Analysis'!D1</c:f>
              <c:strCache>
                <c:ptCount val="1"/>
                <c:pt idx="0">
                  <c:v>Unknown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Analysis'!$A$2:$A$4</c:f>
              <c:strCache>
                <c:ptCount val="3"/>
                <c:pt idx="0">
                  <c:v>Yes</c:v>
                </c:pt>
                <c:pt idx="1">
                  <c:v>No</c:v>
                </c:pt>
                <c:pt idx="2">
                  <c:v>Unknown</c:v>
                </c:pt>
              </c:strCache>
            </c:strRef>
          </c:cat>
          <c:val>
            <c:numRef>
              <c:f>'Pivot Analysis'!$D$2:$D$4</c:f>
              <c:numCache>
                <c:formatCode>General</c:formatCode>
                <c:ptCount val="3"/>
                <c:pt idx="0">
                  <c:v>3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</c:ser>
        <c:gapWidth val="150"/>
        <c:overlap val="0"/>
        <c:axId val="53392713"/>
        <c:axId val="4273264"/>
      </c:barChart>
      <c:catAx>
        <c:axId val="5339271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Paying Customer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73264"/>
        <c:crosses val="autoZero"/>
        <c:auto val="1"/>
        <c:lblAlgn val="ctr"/>
        <c:lblOffset val="100"/>
        <c:noMultiLvlLbl val="0"/>
      </c:catAx>
      <c:valAx>
        <c:axId val="427326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Customers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39271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9</xdr:row>
      <xdr:rowOff>141840</xdr:rowOff>
    </xdr:from>
    <xdr:to>
      <xdr:col>3</xdr:col>
      <xdr:colOff>208800</xdr:colOff>
      <xdr:row>22</xdr:row>
      <xdr:rowOff>184680</xdr:rowOff>
    </xdr:to>
    <xdr:graphicFrame>
      <xdr:nvGraphicFramePr>
        <xdr:cNvPr id="0" name="Chart 1"/>
        <xdr:cNvGraphicFramePr/>
      </xdr:nvGraphicFramePr>
      <xdr:xfrm>
        <a:off x="0" y="2095560"/>
        <a:ext cx="32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9</xdr:row>
      <xdr:rowOff>141840</xdr:rowOff>
    </xdr:from>
    <xdr:to>
      <xdr:col>7</xdr:col>
      <xdr:colOff>208800</xdr:colOff>
      <xdr:row>22</xdr:row>
      <xdr:rowOff>184680</xdr:rowOff>
    </xdr:to>
    <xdr:graphicFrame>
      <xdr:nvGraphicFramePr>
        <xdr:cNvPr id="1" name="Chart 2"/>
        <xdr:cNvGraphicFramePr/>
      </xdr:nvGraphicFramePr>
      <xdr:xfrm>
        <a:off x="3242160" y="2095560"/>
        <a:ext cx="32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0</xdr:colOff>
      <xdr:row>9</xdr:row>
      <xdr:rowOff>141840</xdr:rowOff>
    </xdr:from>
    <xdr:to>
      <xdr:col>12</xdr:col>
      <xdr:colOff>395640</xdr:colOff>
      <xdr:row>22</xdr:row>
      <xdr:rowOff>184680</xdr:rowOff>
    </xdr:to>
    <xdr:graphicFrame>
      <xdr:nvGraphicFramePr>
        <xdr:cNvPr id="2" name="Chart 3"/>
        <xdr:cNvGraphicFramePr/>
      </xdr:nvGraphicFramePr>
      <xdr:xfrm>
        <a:off x="6484680" y="2095560"/>
        <a:ext cx="32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11</xdr:col>
      <xdr:colOff>506880</xdr:colOff>
      <xdr:row>15</xdr:row>
      <xdr:rowOff>31680</xdr:rowOff>
    </xdr:to>
    <xdr:graphicFrame>
      <xdr:nvGraphicFramePr>
        <xdr:cNvPr id="3" name="Chart 1"/>
        <xdr:cNvGraphicFramePr/>
      </xdr:nvGraphicFramePr>
      <xdr:xfrm>
        <a:off x="4276800" y="190440"/>
        <a:ext cx="5398920" cy="269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</xdr:row>
      <xdr:rowOff>0</xdr:rowOff>
    </xdr:from>
    <xdr:to>
      <xdr:col>6</xdr:col>
      <xdr:colOff>305280</xdr:colOff>
      <xdr:row>22</xdr:row>
      <xdr:rowOff>21600</xdr:rowOff>
    </xdr:to>
    <xdr:graphicFrame>
      <xdr:nvGraphicFramePr>
        <xdr:cNvPr id="4" name="Chart 1"/>
        <xdr:cNvGraphicFramePr/>
      </xdr:nvGraphicFramePr>
      <xdr:xfrm>
        <a:off x="0" y="1333440"/>
        <a:ext cx="575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"/>
    <col collapsed="false" customWidth="true" hidden="false" outlineLevel="0" max="3" min="3" style="0" width="20"/>
    <col collapsed="false" customWidth="true" hidden="false" outlineLevel="0" max="4" min="4" style="0" width="3"/>
    <col collapsed="false" customWidth="true" hidden="false" outlineLevel="0" max="5" min="5" style="0" width="20"/>
    <col collapsed="false" customWidth="true" hidden="false" outlineLevel="0" max="6" min="6" style="0" width="3"/>
    <col collapsed="false" customWidth="true" hidden="false" outlineLevel="0" max="7" min="7" style="0" width="20"/>
    <col collapsed="false" customWidth="true" hidden="false" outlineLevel="0" max="8" min="8" style="0" width="3"/>
    <col collapsed="false" customWidth="true" hidden="false" outlineLevel="0" max="9" min="9" style="0" width="20"/>
    <col collapsed="false" customWidth="true" hidden="false" outlineLevel="0" max="10" min="10" style="0" width="3"/>
  </cols>
  <sheetData>
    <row r="1" customFormat="false" ht="22.0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C3" s="2" t="s">
        <v>2</v>
      </c>
      <c r="E3" s="2" t="s">
        <v>3</v>
      </c>
      <c r="G3" s="2" t="s">
        <v>4</v>
      </c>
      <c r="I3" s="2" t="s">
        <v>5</v>
      </c>
    </row>
    <row r="4" customFormat="false" ht="26.8" hidden="false" customHeight="false" outlineLevel="0" collapsed="false">
      <c r="A4" s="3" t="n">
        <f aca="false">COUNTA('Cleaned Data'!A2:A100)</f>
        <v>20</v>
      </c>
      <c r="C4" s="3" t="n">
        <f aca="false">COUNTIF('Cleaned Data'!F2:F100,"Yes")</f>
        <v>13</v>
      </c>
      <c r="E4" s="3" t="n">
        <f aca="false">COUNTIF('Cleaned Data'!G2:G100,"Yes")</f>
        <v>4</v>
      </c>
      <c r="G4" s="3" t="n">
        <f aca="false">COUNTA('Callable List'!A2:A100)</f>
        <v>7</v>
      </c>
      <c r="I4" s="3" t="n">
        <f aca="false">COUNTBLANK('Cleaned Data'!D2:D21)</f>
        <v>4</v>
      </c>
    </row>
    <row r="7" customFormat="false" ht="15" hidden="false" customHeight="false" outlineLevel="0" collapsed="false">
      <c r="A7" s="4" t="s">
        <v>6</v>
      </c>
      <c r="B7" s="4" t="s">
        <v>7</v>
      </c>
      <c r="E7" s="4" t="s">
        <v>3</v>
      </c>
      <c r="F7" s="4" t="s">
        <v>7</v>
      </c>
      <c r="I7" s="4" t="s">
        <v>8</v>
      </c>
      <c r="J7" s="4" t="s">
        <v>9</v>
      </c>
    </row>
    <row r="8" customFormat="false" ht="15" hidden="false" customHeight="false" outlineLevel="0" collapsed="false">
      <c r="A8" s="5" t="s">
        <v>10</v>
      </c>
      <c r="B8" s="5" t="n">
        <f aca="false">COUNTIF('Cleaned Data'!F2:F100,"Yes")</f>
        <v>13</v>
      </c>
      <c r="E8" s="5" t="s">
        <v>10</v>
      </c>
      <c r="F8" s="5" t="n">
        <f aca="false">COUNTIF('Cleaned Data'!G2:G100,"Yes")</f>
        <v>4</v>
      </c>
      <c r="I8" s="5" t="s">
        <v>11</v>
      </c>
      <c r="J8" s="5" t="n">
        <f aca="false">COUNTBLANK('Cleaned Data'!D2:D21)</f>
        <v>4</v>
      </c>
    </row>
    <row r="9" customFormat="false" ht="15" hidden="false" customHeight="false" outlineLevel="0" collapsed="false">
      <c r="A9" s="5" t="s">
        <v>12</v>
      </c>
      <c r="B9" s="5" t="n">
        <f aca="false">COUNTIF('Cleaned Data'!F2:F100,"No")</f>
        <v>6</v>
      </c>
      <c r="E9" s="5" t="s">
        <v>12</v>
      </c>
      <c r="F9" s="5" t="n">
        <f aca="false">COUNTIF('Cleaned Data'!G2:G100,"No")</f>
        <v>12</v>
      </c>
      <c r="I9" s="5" t="s">
        <v>13</v>
      </c>
      <c r="J9" s="5" t="n">
        <f aca="false">COUNTBLANK('Cleaned Data'!C2:C21)</f>
        <v>1</v>
      </c>
    </row>
    <row r="10" customFormat="false" ht="15" hidden="false" customHeight="false" outlineLevel="0" collapsed="false">
      <c r="A10" s="5" t="s">
        <v>14</v>
      </c>
      <c r="B10" s="5" t="n">
        <f aca="false">COUNTIF('Cleaned Data'!F2:F100,"Unknown")</f>
        <v>1</v>
      </c>
      <c r="E10" s="5" t="s">
        <v>14</v>
      </c>
      <c r="F10" s="5" t="n">
        <f aca="false">COUNTIF('Cleaned Data'!G2:G100,"Unknown")</f>
        <v>4</v>
      </c>
      <c r="I10" s="5" t="s">
        <v>15</v>
      </c>
      <c r="J10" s="5" t="n">
        <f aca="false">COUNTBLANK('Cleaned Data'!E2:E21)</f>
        <v>1</v>
      </c>
    </row>
    <row r="28" customFormat="false" ht="15" hidden="false" customHeight="false" outlineLevel="0" collapsed="false">
      <c r="A28" s="6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7" width="42"/>
    <col collapsed="false" customWidth="true" hidden="false" outlineLevel="0" max="2" min="2" style="7" width="10"/>
  </cols>
  <sheetData>
    <row r="1" customFormat="false" ht="15" hidden="false" customHeight="true" outlineLevel="0" collapsed="false">
      <c r="A1" s="8" t="s">
        <v>17</v>
      </c>
      <c r="B1" s="8" t="s">
        <v>18</v>
      </c>
    </row>
    <row r="2" customFormat="false" ht="15" hidden="false" customHeight="true" outlineLevel="0" collapsed="false">
      <c r="A2" s="9" t="s">
        <v>19</v>
      </c>
      <c r="B2" s="9" t="n">
        <f aca="false">COUNTA('Cleaned Data'!A2:A100)</f>
        <v>20</v>
      </c>
    </row>
    <row r="3" customFormat="false" ht="15" hidden="false" customHeight="true" outlineLevel="0" collapsed="false">
      <c r="A3" s="9" t="s">
        <v>20</v>
      </c>
      <c r="B3" s="9" t="n">
        <f aca="false">COUNTIF('Cleaned Data'!F2:F100,"Yes")</f>
        <v>13</v>
      </c>
    </row>
    <row r="4" customFormat="false" ht="15" hidden="false" customHeight="true" outlineLevel="0" collapsed="false">
      <c r="A4" s="9" t="s">
        <v>21</v>
      </c>
      <c r="B4" s="9" t="n">
        <f aca="false">COUNTIF('Cleaned Data'!F2:F100,"No")</f>
        <v>6</v>
      </c>
    </row>
    <row r="5" customFormat="false" ht="15" hidden="false" customHeight="true" outlineLevel="0" collapsed="false">
      <c r="A5" s="9" t="s">
        <v>22</v>
      </c>
      <c r="B5" s="9" t="n">
        <f aca="false">COUNTIF('Cleaned Data'!F2:F100,"Unknown")</f>
        <v>1</v>
      </c>
    </row>
    <row r="6" customFormat="false" ht="15" hidden="false" customHeight="true" outlineLevel="0" collapsed="false">
      <c r="A6" s="9" t="s">
        <v>23</v>
      </c>
      <c r="B6" s="9" t="n">
        <f aca="false">COUNTIF('Cleaned Data'!G2:G100,"Yes")</f>
        <v>4</v>
      </c>
    </row>
    <row r="7" customFormat="false" ht="15" hidden="false" customHeight="true" outlineLevel="0" collapsed="false">
      <c r="A7" s="9" t="s">
        <v>24</v>
      </c>
      <c r="B7" s="9" t="n">
        <f aca="false">COUNTIF('Cleaned Data'!G2:G100,"Unknown")</f>
        <v>4</v>
      </c>
    </row>
    <row r="8" customFormat="false" ht="15" hidden="false" customHeight="true" outlineLevel="0" collapsed="false">
      <c r="A8" s="9" t="s">
        <v>25</v>
      </c>
      <c r="B8" s="9" t="n">
        <f aca="false">COUNTBLANK('Cleaned Data'!D2:D21)</f>
        <v>4</v>
      </c>
    </row>
    <row r="9" customFormat="false" ht="15" hidden="false" customHeight="true" outlineLevel="0" collapsed="false">
      <c r="A9" s="9" t="s">
        <v>26</v>
      </c>
      <c r="B9" s="9" t="n">
        <f aca="false">COUNTA('Callable List'!A2:A100)</f>
        <v>7</v>
      </c>
    </row>
    <row r="10" customFormat="false" ht="15" hidden="false" customHeight="true" outlineLevel="0" collapsed="false">
      <c r="A10" s="9"/>
      <c r="B10" s="9"/>
    </row>
    <row r="11" customFormat="false" ht="15" hidden="false" customHeight="true" outlineLevel="0" collapsed="false">
      <c r="A11" s="9" t="s">
        <v>27</v>
      </c>
      <c r="B11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7" width="34"/>
  </cols>
  <sheetData>
    <row r="1" customFormat="false" ht="15" hidden="false" customHeight="true" outlineLevel="0" collapsed="false">
      <c r="A1" s="8" t="s">
        <v>28</v>
      </c>
      <c r="B1" s="8" t="s">
        <v>10</v>
      </c>
      <c r="C1" s="8" t="s">
        <v>12</v>
      </c>
      <c r="D1" s="8" t="s">
        <v>14</v>
      </c>
      <c r="E1" s="8" t="s">
        <v>29</v>
      </c>
    </row>
    <row r="2" customFormat="false" ht="15" hidden="false" customHeight="true" outlineLevel="0" collapsed="false">
      <c r="A2" s="9" t="s">
        <v>10</v>
      </c>
      <c r="B2" s="9" t="n">
        <f aca="false">COUNTIFS('Cleaned Data'!$F$2:$F$100,$A2,'Cleaned Data'!$G$2:$G$100,B$1)</f>
        <v>2</v>
      </c>
      <c r="C2" s="9" t="n">
        <f aca="false">COUNTIFS('Cleaned Data'!$F$2:$F$100,$A2,'Cleaned Data'!$G$2:$G$100,C$1)</f>
        <v>8</v>
      </c>
      <c r="D2" s="9" t="n">
        <f aca="false">COUNTIFS('Cleaned Data'!$F$2:$F$100,$A2,'Cleaned Data'!$G$2:$G$100,D$1)</f>
        <v>3</v>
      </c>
      <c r="E2" s="9" t="n">
        <f aca="false">SUM(B2:D2)</f>
        <v>13</v>
      </c>
    </row>
    <row r="3" customFormat="false" ht="15" hidden="false" customHeight="true" outlineLevel="0" collapsed="false">
      <c r="A3" s="9" t="s">
        <v>12</v>
      </c>
      <c r="B3" s="9" t="n">
        <f aca="false">COUNTIFS('Cleaned Data'!$F$2:$F$100,$A3,'Cleaned Data'!$G$2:$G$100,B$1)</f>
        <v>1</v>
      </c>
      <c r="C3" s="9" t="n">
        <f aca="false">COUNTIFS('Cleaned Data'!$F$2:$F$100,$A3,'Cleaned Data'!$G$2:$G$100,C$1)</f>
        <v>4</v>
      </c>
      <c r="D3" s="9" t="n">
        <f aca="false">COUNTIFS('Cleaned Data'!$F$2:$F$100,$A3,'Cleaned Data'!$G$2:$G$100,D$1)</f>
        <v>1</v>
      </c>
      <c r="E3" s="9" t="n">
        <f aca="false">SUM(B3:D3)</f>
        <v>6</v>
      </c>
    </row>
    <row r="4" customFormat="false" ht="15" hidden="false" customHeight="true" outlineLevel="0" collapsed="false">
      <c r="A4" s="9" t="s">
        <v>14</v>
      </c>
      <c r="B4" s="9" t="n">
        <f aca="false">COUNTIFS('Cleaned Data'!$F$2:$F$100,$A4,'Cleaned Data'!$G$2:$G$100,B$1)</f>
        <v>1</v>
      </c>
      <c r="C4" s="9" t="n">
        <f aca="false">COUNTIFS('Cleaned Data'!$F$2:$F$100,$A4,'Cleaned Data'!$G$2:$G$100,C$1)</f>
        <v>0</v>
      </c>
      <c r="D4" s="9" t="n">
        <f aca="false">COUNTIFS('Cleaned Data'!$F$2:$F$100,$A4,'Cleaned Data'!$G$2:$G$100,D$1)</f>
        <v>0</v>
      </c>
      <c r="E4" s="9" t="n">
        <f aca="false">SUM(B4:D4)</f>
        <v>1</v>
      </c>
    </row>
    <row r="5" customFormat="false" ht="15" hidden="false" customHeight="true" outlineLevel="0" collapsed="false">
      <c r="A5" s="10" t="s">
        <v>29</v>
      </c>
      <c r="B5" s="10" t="n">
        <f aca="false">SUM(B2:B4)</f>
        <v>4</v>
      </c>
      <c r="C5" s="10" t="n">
        <f aca="false">SUM(C2:C4)</f>
        <v>12</v>
      </c>
      <c r="D5" s="10" t="n">
        <f aca="false">SUM(D2:D4)</f>
        <v>4</v>
      </c>
      <c r="E5" s="10" t="n">
        <f aca="false">SUM(E2:E4)</f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7" width="13"/>
    <col collapsed="false" customWidth="true" hidden="false" outlineLevel="0" max="4" min="4" style="7" width="15"/>
    <col collapsed="false" customWidth="true" hidden="false" outlineLevel="0" max="5" min="5" style="7" width="40"/>
    <col collapsed="false" customWidth="true" hidden="false" outlineLevel="0" max="6" min="6" style="7" width="18"/>
    <col collapsed="false" customWidth="true" hidden="false" outlineLevel="0" max="7" min="7" style="7" width="17"/>
  </cols>
  <sheetData>
    <row r="1" customFormat="false" ht="15" hidden="false" customHeight="true" outlineLevel="0" collapsed="false">
      <c r="A1" s="8" t="s">
        <v>30</v>
      </c>
      <c r="B1" s="8" t="s">
        <v>31</v>
      </c>
      <c r="C1" s="8" t="s">
        <v>32</v>
      </c>
      <c r="D1" s="8" t="s">
        <v>33</v>
      </c>
      <c r="E1" s="8" t="s">
        <v>15</v>
      </c>
      <c r="F1" s="8" t="s">
        <v>34</v>
      </c>
      <c r="G1" s="8" t="s">
        <v>35</v>
      </c>
    </row>
    <row r="2" customFormat="false" ht="15" hidden="false" customHeight="true" outlineLevel="0" collapsed="false">
      <c r="A2" s="9" t="n">
        <v>1001</v>
      </c>
      <c r="B2" s="9" t="s">
        <v>36</v>
      </c>
      <c r="C2" s="9" t="s">
        <v>37</v>
      </c>
      <c r="D2" s="9" t="s">
        <v>38</v>
      </c>
      <c r="E2" s="9" t="s">
        <v>39</v>
      </c>
      <c r="F2" s="9" t="s">
        <v>10</v>
      </c>
      <c r="G2" s="9" t="s">
        <v>12</v>
      </c>
    </row>
    <row r="3" customFormat="false" ht="15" hidden="false" customHeight="true" outlineLevel="0" collapsed="false">
      <c r="A3" s="9" t="n">
        <v>1002</v>
      </c>
      <c r="B3" s="9" t="s">
        <v>40</v>
      </c>
      <c r="C3" s="9" t="s">
        <v>41</v>
      </c>
      <c r="D3" s="9" t="s">
        <v>42</v>
      </c>
      <c r="E3" s="9" t="s">
        <v>43</v>
      </c>
      <c r="F3" s="9" t="s">
        <v>12</v>
      </c>
      <c r="G3" s="9" t="s">
        <v>10</v>
      </c>
    </row>
    <row r="4" customFormat="false" ht="15" hidden="false" customHeight="true" outlineLevel="0" collapsed="false">
      <c r="A4" s="9" t="n">
        <v>1003</v>
      </c>
      <c r="B4" s="9" t="s">
        <v>44</v>
      </c>
      <c r="C4" s="9" t="s">
        <v>45</v>
      </c>
      <c r="D4" s="9" t="s">
        <v>46</v>
      </c>
      <c r="E4" s="9" t="s">
        <v>47</v>
      </c>
      <c r="F4" s="9" t="s">
        <v>12</v>
      </c>
      <c r="G4" s="9" t="s">
        <v>14</v>
      </c>
    </row>
    <row r="5" customFormat="false" ht="15" hidden="false" customHeight="true" outlineLevel="0" collapsed="false">
      <c r="A5" s="9" t="n">
        <v>1004</v>
      </c>
      <c r="B5" s="9" t="s">
        <v>48</v>
      </c>
      <c r="C5" s="9" t="s">
        <v>49</v>
      </c>
      <c r="D5" s="9" t="s">
        <v>50</v>
      </c>
      <c r="E5" s="9" t="s">
        <v>51</v>
      </c>
      <c r="F5" s="9" t="s">
        <v>10</v>
      </c>
      <c r="G5" s="9" t="s">
        <v>10</v>
      </c>
    </row>
    <row r="6" customFormat="false" ht="15" hidden="false" customHeight="true" outlineLevel="0" collapsed="false">
      <c r="A6" s="9" t="n">
        <v>1005</v>
      </c>
      <c r="B6" s="9" t="s">
        <v>52</v>
      </c>
      <c r="C6" s="9" t="s">
        <v>53</v>
      </c>
      <c r="D6" s="9" t="s">
        <v>54</v>
      </c>
      <c r="E6" s="9" t="s">
        <v>55</v>
      </c>
      <c r="F6" s="9" t="s">
        <v>10</v>
      </c>
      <c r="G6" s="9" t="s">
        <v>12</v>
      </c>
    </row>
    <row r="7" customFormat="false" ht="15" hidden="false" customHeight="true" outlineLevel="0" collapsed="false">
      <c r="A7" s="9" t="n">
        <v>1006</v>
      </c>
      <c r="B7" s="9" t="s">
        <v>56</v>
      </c>
      <c r="C7" s="9" t="s">
        <v>57</v>
      </c>
      <c r="D7" s="9" t="s">
        <v>58</v>
      </c>
      <c r="E7" s="9" t="s">
        <v>59</v>
      </c>
      <c r="F7" s="9" t="s">
        <v>10</v>
      </c>
      <c r="G7" s="9" t="s">
        <v>10</v>
      </c>
    </row>
    <row r="8" customFormat="false" ht="15" hidden="false" customHeight="true" outlineLevel="0" collapsed="false">
      <c r="A8" s="9" t="n">
        <v>1007</v>
      </c>
      <c r="B8" s="9" t="s">
        <v>60</v>
      </c>
      <c r="C8" s="9" t="s">
        <v>61</v>
      </c>
      <c r="D8" s="9"/>
      <c r="E8" s="9" t="s">
        <v>62</v>
      </c>
      <c r="F8" s="9" t="s">
        <v>12</v>
      </c>
      <c r="G8" s="9" t="s">
        <v>12</v>
      </c>
    </row>
    <row r="9" customFormat="false" ht="15" hidden="false" customHeight="true" outlineLevel="0" collapsed="false">
      <c r="A9" s="9" t="n">
        <v>1008</v>
      </c>
      <c r="B9" s="9" t="s">
        <v>63</v>
      </c>
      <c r="C9" s="9" t="s">
        <v>64</v>
      </c>
      <c r="D9" s="9" t="s">
        <v>54</v>
      </c>
      <c r="E9" s="9" t="s">
        <v>65</v>
      </c>
      <c r="F9" s="9" t="s">
        <v>12</v>
      </c>
      <c r="G9" s="9" t="s">
        <v>12</v>
      </c>
    </row>
    <row r="10" customFormat="false" ht="15" hidden="false" customHeight="true" outlineLevel="0" collapsed="false">
      <c r="A10" s="9" t="n">
        <v>1009</v>
      </c>
      <c r="B10" s="9" t="s">
        <v>66</v>
      </c>
      <c r="C10" s="9"/>
      <c r="D10" s="9"/>
      <c r="E10" s="9" t="s">
        <v>67</v>
      </c>
      <c r="F10" s="9" t="s">
        <v>10</v>
      </c>
      <c r="G10" s="9" t="s">
        <v>14</v>
      </c>
    </row>
    <row r="11" customFormat="false" ht="15" hidden="false" customHeight="true" outlineLevel="0" collapsed="false">
      <c r="A11" s="9" t="n">
        <v>1010</v>
      </c>
      <c r="B11" s="9" t="s">
        <v>68</v>
      </c>
      <c r="C11" s="9" t="s">
        <v>69</v>
      </c>
      <c r="D11" s="9" t="s">
        <v>38</v>
      </c>
      <c r="E11" s="9" t="s">
        <v>70</v>
      </c>
      <c r="F11" s="9" t="s">
        <v>10</v>
      </c>
      <c r="G11" s="9" t="s">
        <v>12</v>
      </c>
    </row>
    <row r="12" customFormat="false" ht="15" hidden="false" customHeight="true" outlineLevel="0" collapsed="false">
      <c r="A12" s="9" t="n">
        <v>1011</v>
      </c>
      <c r="B12" s="9" t="s">
        <v>71</v>
      </c>
      <c r="C12" s="9" t="s">
        <v>72</v>
      </c>
      <c r="D12" s="9"/>
      <c r="E12" s="9" t="s">
        <v>73</v>
      </c>
      <c r="F12" s="9" t="s">
        <v>10</v>
      </c>
      <c r="G12" s="9" t="s">
        <v>12</v>
      </c>
    </row>
    <row r="13" customFormat="false" ht="15" hidden="false" customHeight="true" outlineLevel="0" collapsed="false">
      <c r="A13" s="9" t="n">
        <v>1012</v>
      </c>
      <c r="B13" s="9" t="s">
        <v>74</v>
      </c>
      <c r="C13" s="9" t="s">
        <v>75</v>
      </c>
      <c r="D13" s="9" t="s">
        <v>46</v>
      </c>
      <c r="E13" s="9" t="s">
        <v>76</v>
      </c>
      <c r="F13" s="9" t="s">
        <v>10</v>
      </c>
      <c r="G13" s="9" t="s">
        <v>14</v>
      </c>
    </row>
    <row r="14" customFormat="false" ht="15" hidden="false" customHeight="true" outlineLevel="0" collapsed="false">
      <c r="A14" s="9" t="n">
        <v>1013</v>
      </c>
      <c r="B14" s="9" t="s">
        <v>77</v>
      </c>
      <c r="C14" s="9" t="s">
        <v>78</v>
      </c>
      <c r="D14" s="9" t="s">
        <v>50</v>
      </c>
      <c r="E14" s="9" t="s">
        <v>79</v>
      </c>
      <c r="F14" s="9" t="s">
        <v>10</v>
      </c>
      <c r="G14" s="9" t="s">
        <v>12</v>
      </c>
    </row>
    <row r="15" customFormat="false" ht="15" hidden="false" customHeight="true" outlineLevel="0" collapsed="false">
      <c r="A15" s="9" t="n">
        <v>1014</v>
      </c>
      <c r="B15" s="9" t="s">
        <v>80</v>
      </c>
      <c r="C15" s="9" t="s">
        <v>81</v>
      </c>
      <c r="D15" s="9" t="s">
        <v>54</v>
      </c>
      <c r="E15" s="9" t="s">
        <v>82</v>
      </c>
      <c r="F15" s="9" t="s">
        <v>10</v>
      </c>
      <c r="G15" s="9" t="s">
        <v>12</v>
      </c>
    </row>
    <row r="16" customFormat="false" ht="15" hidden="false" customHeight="true" outlineLevel="0" collapsed="false">
      <c r="A16" s="9" t="n">
        <v>1015</v>
      </c>
      <c r="B16" s="9" t="s">
        <v>83</v>
      </c>
      <c r="C16" s="9" t="s">
        <v>84</v>
      </c>
      <c r="D16" s="9" t="s">
        <v>58</v>
      </c>
      <c r="E16" s="9" t="s">
        <v>85</v>
      </c>
      <c r="F16" s="9" t="s">
        <v>12</v>
      </c>
      <c r="G16" s="9" t="s">
        <v>12</v>
      </c>
    </row>
    <row r="17" customFormat="false" ht="15" hidden="false" customHeight="true" outlineLevel="0" collapsed="false">
      <c r="A17" s="9" t="n">
        <v>1016</v>
      </c>
      <c r="B17" s="9" t="s">
        <v>56</v>
      </c>
      <c r="C17" s="9" t="s">
        <v>86</v>
      </c>
      <c r="D17" s="9" t="s">
        <v>38</v>
      </c>
      <c r="E17" s="9" t="s">
        <v>87</v>
      </c>
      <c r="F17" s="9" t="s">
        <v>12</v>
      </c>
      <c r="G17" s="9" t="s">
        <v>12</v>
      </c>
    </row>
    <row r="18" customFormat="false" ht="15" hidden="false" customHeight="true" outlineLevel="0" collapsed="false">
      <c r="A18" s="9" t="n">
        <v>1017</v>
      </c>
      <c r="B18" s="9" t="s">
        <v>88</v>
      </c>
      <c r="C18" s="9" t="s">
        <v>89</v>
      </c>
      <c r="D18" s="9" t="s">
        <v>42</v>
      </c>
      <c r="E18" s="9" t="s">
        <v>90</v>
      </c>
      <c r="F18" s="9" t="s">
        <v>10</v>
      </c>
      <c r="G18" s="9" t="s">
        <v>12</v>
      </c>
    </row>
    <row r="19" customFormat="false" ht="15" hidden="false" customHeight="true" outlineLevel="0" collapsed="false">
      <c r="A19" s="9" t="n">
        <v>1018</v>
      </c>
      <c r="B19" s="9" t="s">
        <v>91</v>
      </c>
      <c r="C19" s="9" t="s">
        <v>92</v>
      </c>
      <c r="D19" s="9" t="s">
        <v>46</v>
      </c>
      <c r="E19" s="9" t="s">
        <v>93</v>
      </c>
      <c r="F19" s="9" t="s">
        <v>10</v>
      </c>
      <c r="G19" s="9" t="s">
        <v>14</v>
      </c>
    </row>
    <row r="20" customFormat="false" ht="15" hidden="false" customHeight="true" outlineLevel="0" collapsed="false">
      <c r="A20" s="9" t="n">
        <v>1019</v>
      </c>
      <c r="B20" s="9" t="s">
        <v>94</v>
      </c>
      <c r="C20" s="9" t="s">
        <v>95</v>
      </c>
      <c r="D20" s="9"/>
      <c r="E20" s="9"/>
      <c r="F20" s="9" t="s">
        <v>14</v>
      </c>
      <c r="G20" s="9" t="s">
        <v>10</v>
      </c>
    </row>
    <row r="21" customFormat="false" ht="15" hidden="false" customHeight="true" outlineLevel="0" collapsed="false">
      <c r="A21" s="9" t="n">
        <v>1020</v>
      </c>
      <c r="B21" s="9" t="s">
        <v>96</v>
      </c>
      <c r="C21" s="9" t="s">
        <v>97</v>
      </c>
      <c r="D21" s="9" t="s">
        <v>54</v>
      </c>
      <c r="E21" s="9" t="s">
        <v>98</v>
      </c>
      <c r="F21" s="9" t="s">
        <v>10</v>
      </c>
      <c r="G21" s="9" t="s">
        <v>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7" width="53"/>
    <col collapsed="false" customWidth="true" hidden="false" outlineLevel="0" max="2" min="2" style="7" width="8"/>
    <col collapsed="false" customWidth="true" hidden="false" outlineLevel="0" max="3" min="3" style="7" width="48"/>
  </cols>
  <sheetData>
    <row r="1" customFormat="false" ht="15" hidden="false" customHeight="true" outlineLevel="0" collapsed="false">
      <c r="A1" s="8" t="s">
        <v>99</v>
      </c>
      <c r="B1" s="8" t="s">
        <v>18</v>
      </c>
      <c r="C1" s="8" t="s">
        <v>100</v>
      </c>
    </row>
    <row r="2" customFormat="false" ht="15" hidden="false" customHeight="true" outlineLevel="0" collapsed="false">
      <c r="A2" s="9" t="s">
        <v>101</v>
      </c>
      <c r="B2" s="9" t="n">
        <v>1</v>
      </c>
      <c r="C2" s="9" t="s">
        <v>102</v>
      </c>
    </row>
    <row r="3" customFormat="false" ht="15" hidden="false" customHeight="true" outlineLevel="0" collapsed="false">
      <c r="A3" s="9" t="s">
        <v>103</v>
      </c>
      <c r="B3" s="9" t="n">
        <v>1</v>
      </c>
      <c r="C3" s="9" t="s">
        <v>104</v>
      </c>
    </row>
    <row r="4" customFormat="false" ht="15" hidden="false" customHeight="true" outlineLevel="0" collapsed="false">
      <c r="A4" s="9" t="s">
        <v>105</v>
      </c>
      <c r="B4" s="9" t="n">
        <v>5</v>
      </c>
      <c r="C4" s="9" t="s">
        <v>106</v>
      </c>
    </row>
    <row r="5" customFormat="false" ht="15" hidden="false" customHeight="true" outlineLevel="0" collapsed="false">
      <c r="A5" s="9" t="s">
        <v>107</v>
      </c>
      <c r="B5" s="9" t="n">
        <v>11</v>
      </c>
      <c r="C5" s="9" t="s">
        <v>108</v>
      </c>
    </row>
    <row r="6" customFormat="false" ht="15" hidden="false" customHeight="true" outlineLevel="0" collapsed="false">
      <c r="A6" s="9" t="s">
        <v>109</v>
      </c>
      <c r="B6" s="9" t="n">
        <v>1</v>
      </c>
      <c r="C6" s="9" t="s">
        <v>110</v>
      </c>
    </row>
    <row r="7" customFormat="false" ht="15" hidden="false" customHeight="true" outlineLevel="0" collapsed="false">
      <c r="A7" s="9" t="s">
        <v>111</v>
      </c>
      <c r="B7" s="9" t="n">
        <v>2</v>
      </c>
      <c r="C7" s="9" t="s">
        <v>112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7" width="13"/>
    <col collapsed="false" customWidth="true" hidden="false" outlineLevel="0" max="3" min="3" style="7" width="12"/>
    <col collapsed="false" customWidth="true" hidden="false" outlineLevel="0" max="4" min="4" style="7" width="15"/>
    <col collapsed="false" customWidth="true" hidden="false" outlineLevel="0" max="5" min="5" style="7" width="33"/>
    <col collapsed="false" customWidth="true" hidden="false" outlineLevel="0" max="6" min="6" style="7" width="18"/>
    <col collapsed="false" customWidth="true" hidden="false" outlineLevel="0" max="7" min="7" style="7" width="17"/>
  </cols>
  <sheetData>
    <row r="1" customFormat="false" ht="15" hidden="false" customHeight="true" outlineLevel="0" collapsed="false">
      <c r="A1" s="8" t="s">
        <v>30</v>
      </c>
      <c r="B1" s="8" t="s">
        <v>31</v>
      </c>
      <c r="C1" s="8" t="s">
        <v>32</v>
      </c>
      <c r="D1" s="8" t="s">
        <v>33</v>
      </c>
      <c r="E1" s="8" t="s">
        <v>15</v>
      </c>
      <c r="F1" s="8" t="s">
        <v>34</v>
      </c>
      <c r="G1" s="8" t="s">
        <v>35</v>
      </c>
    </row>
    <row r="2" customFormat="false" ht="15" hidden="false" customHeight="true" outlineLevel="0" collapsed="false">
      <c r="A2" s="9" t="s">
        <v>113</v>
      </c>
      <c r="B2" s="9" t="s">
        <v>36</v>
      </c>
      <c r="C2" s="9" t="s">
        <v>37</v>
      </c>
      <c r="D2" s="9" t="s">
        <v>38</v>
      </c>
      <c r="E2" s="9" t="s">
        <v>39</v>
      </c>
      <c r="F2" s="9" t="s">
        <v>10</v>
      </c>
      <c r="G2" s="9" t="s">
        <v>12</v>
      </c>
    </row>
    <row r="3" customFormat="false" ht="15" hidden="false" customHeight="true" outlineLevel="0" collapsed="false">
      <c r="A3" s="9" t="s">
        <v>114</v>
      </c>
      <c r="B3" s="9" t="s">
        <v>52</v>
      </c>
      <c r="C3" s="9" t="s">
        <v>53</v>
      </c>
      <c r="D3" s="9" t="s">
        <v>54</v>
      </c>
      <c r="E3" s="9" t="s">
        <v>55</v>
      </c>
      <c r="F3" s="9" t="s">
        <v>10</v>
      </c>
      <c r="G3" s="9" t="s">
        <v>12</v>
      </c>
    </row>
    <row r="4" customFormat="false" ht="15" hidden="false" customHeight="true" outlineLevel="0" collapsed="false">
      <c r="A4" s="9" t="s">
        <v>115</v>
      </c>
      <c r="B4" s="9" t="s">
        <v>68</v>
      </c>
      <c r="C4" s="9" t="s">
        <v>69</v>
      </c>
      <c r="D4" s="9" t="s">
        <v>38</v>
      </c>
      <c r="E4" s="9" t="s">
        <v>70</v>
      </c>
      <c r="F4" s="9" t="s">
        <v>10</v>
      </c>
      <c r="G4" s="9" t="s">
        <v>12</v>
      </c>
    </row>
    <row r="5" customFormat="false" ht="15" hidden="false" customHeight="true" outlineLevel="0" collapsed="false">
      <c r="A5" s="9" t="s">
        <v>116</v>
      </c>
      <c r="B5" s="9" t="s">
        <v>77</v>
      </c>
      <c r="C5" s="9" t="s">
        <v>78</v>
      </c>
      <c r="D5" s="9" t="s">
        <v>50</v>
      </c>
      <c r="E5" s="9" t="s">
        <v>79</v>
      </c>
      <c r="F5" s="9" t="s">
        <v>10</v>
      </c>
      <c r="G5" s="9" t="s">
        <v>12</v>
      </c>
    </row>
    <row r="6" customFormat="false" ht="15" hidden="false" customHeight="true" outlineLevel="0" collapsed="false">
      <c r="A6" s="9" t="s">
        <v>117</v>
      </c>
      <c r="B6" s="9" t="s">
        <v>80</v>
      </c>
      <c r="C6" s="9" t="s">
        <v>81</v>
      </c>
      <c r="D6" s="9" t="s">
        <v>54</v>
      </c>
      <c r="E6" s="9" t="s">
        <v>82</v>
      </c>
      <c r="F6" s="9" t="s">
        <v>10</v>
      </c>
      <c r="G6" s="9" t="s">
        <v>12</v>
      </c>
    </row>
    <row r="7" customFormat="false" ht="15" hidden="false" customHeight="true" outlineLevel="0" collapsed="false">
      <c r="A7" s="9" t="s">
        <v>118</v>
      </c>
      <c r="B7" s="9" t="s">
        <v>88</v>
      </c>
      <c r="C7" s="9" t="s">
        <v>89</v>
      </c>
      <c r="D7" s="9" t="s">
        <v>42</v>
      </c>
      <c r="E7" s="9" t="s">
        <v>90</v>
      </c>
      <c r="F7" s="9" t="s">
        <v>10</v>
      </c>
      <c r="G7" s="9" t="s">
        <v>12</v>
      </c>
    </row>
    <row r="8" customFormat="false" ht="15" hidden="false" customHeight="true" outlineLevel="0" collapsed="false">
      <c r="A8" s="9" t="s">
        <v>119</v>
      </c>
      <c r="B8" s="9" t="s">
        <v>96</v>
      </c>
      <c r="C8" s="9" t="s">
        <v>97</v>
      </c>
      <c r="D8" s="9" t="s">
        <v>54</v>
      </c>
      <c r="E8" s="9" t="s">
        <v>98</v>
      </c>
      <c r="F8" s="9" t="s">
        <v>10</v>
      </c>
      <c r="G8" s="9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2026-10-09T09:00:15Z</dcterms:created>
  <dc:creator>openpyxl</dc:creator>
  <dc:description/>
  <dc:language>en-US</dc:language>
  <cp:lastModifiedBy/>
  <dcterms:modified xsi:type="dcterms:W3CDTF">2026-10-09T09:07:20Z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